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ing 32 em" sheetId="1" state="visible" r:id="rId3"/>
    <sheet name="Summary Decision" sheetId="2" state="visible" r:id="rId4"/>
    <sheet name="Kich ban Khanh h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<sst xmlns="http://schemas.openxmlformats.org/spreadsheetml/2006/main" count="158" uniqueCount="69">
  <si>
    <t xml:space="preserve">🧋 TRÀ SỮA PILOT TEST — Tracking 4 ngày (2-5 thg 6)</t>
  </si>
  <si>
    <t xml:space="preserve">Khánh điền — anh review T6 5 thg 6 tối</t>
  </si>
  <si>
    <t xml:space="preserve">STT</t>
  </si>
  <si>
    <t xml:space="preserve">Ngày</t>
  </si>
  <si>
    <t xml:space="preserve">Slot</t>
  </si>
  <si>
    <t xml:space="preserve">Tên em</t>
  </si>
  <si>
    <t xml:space="preserve">Lớp</t>
  </si>
  <si>
    <t xml:space="preserve">Recipe uống</t>
  </si>
  <si>
    <t xml:space="preserve">Vị (1-5)</t>
  </si>
  <si>
    <t xml:space="preserve">Trân châu (1-5)</t>
  </si>
  <si>
    <t xml:space="preserve">Sẽ trả (k)</t>
  </si>
  <si>
    <t xml:space="preserve">Topping fav</t>
  </si>
  <si>
    <t xml:space="preserve">Order lại?</t>
  </si>
  <si>
    <t xml:space="preserve">IG/TikTok?</t>
  </si>
  <si>
    <t xml:space="preserve">Comment</t>
  </si>
  <si>
    <t xml:space="preserve">T3 02-06</t>
  </si>
  <si>
    <t xml:space="preserve">Slot 1</t>
  </si>
  <si>
    <t xml:space="preserve">Base</t>
  </si>
  <si>
    <t xml:space="preserve">Deluxe</t>
  </si>
  <si>
    <t xml:space="preserve">Slot 2</t>
  </si>
  <si>
    <t xml:space="preserve">Cream</t>
  </si>
  <si>
    <t xml:space="preserve">T4 03-06</t>
  </si>
  <si>
    <t xml:space="preserve">T5 04-06</t>
  </si>
  <si>
    <t xml:space="preserve">T6 05-06</t>
  </si>
  <si>
    <t xml:space="preserve">TỰ CHỌN</t>
  </si>
  <si>
    <t xml:space="preserve">📊 SUMMARY DECISION — T6 05-06 19:30 (Anh + Em)</t>
  </si>
  <si>
    <t xml:space="preserve">Recipe</t>
  </si>
  <si>
    <t xml:space="preserve">Số em uống</t>
  </si>
  <si>
    <t xml:space="preserve">Avg vị</t>
  </si>
  <si>
    <t xml:space="preserve">Avg trân châu</t>
  </si>
  <si>
    <t xml:space="preserve">Avg willingness</t>
  </si>
  <si>
    <t xml:space="preserve">Base (PROD_TS_TC_BASE)</t>
  </si>
  <si>
    <t xml:space="preserve">Deluxe (PROD_TS_TC_DELUXE)</t>
  </si>
  <si>
    <t xml:space="preserve">Cream (PROD_TS_TC_CREAM)</t>
  </si>
  <si>
    <t xml:space="preserve">DECISION RULES:</t>
  </si>
  <si>
    <t xml:space="preserve">Avg vị ≥ 3.5/5 → Activate</t>
  </si>
  <si>
    <t xml:space="preserve">% chọn ≥ 25% → Priority activate</t>
  </si>
  <si>
    <t xml:space="preserve">Avg willingness ≥ giá → Activate</t>
  </si>
  <si>
    <t xml:space="preserve">Topping favorite count:</t>
  </si>
  <si>
    <t xml:space="preserve">Em đăng IG hoặc TikTok:</t>
  </si>
  <si>
    <t xml:space="preserve">Em sẽ order lại:</t>
  </si>
  <si>
    <t xml:space="preserve">QUYẾT ĐỊNH (anh tick 1 ô):</t>
  </si>
  <si>
    <t xml:space="preserve">[ ] Activate ALL 3 (PROD_TS_TC_BASE + DELUXE + CREAM)</t>
  </si>
  <si>
    <t xml:space="preserve">[ ] Activate Base ONLY (PROD_TS_TC_BASE)</t>
  </si>
  <si>
    <t xml:space="preserve">[ ] Activate Base + Deluxe</t>
  </si>
  <si>
    <t xml:space="preserve">[ ] Activate Base + Cream</t>
  </si>
  <si>
    <t xml:space="preserve">[ ] KHÔNG activate — adjust recipe pilot lại tuần sau</t>
  </si>
  <si>
    <t xml:space="preserve">🎤 ANCHOR QUESTIONS — Khánh đọc đúng kịch bản</t>
  </si>
  <si>
    <t xml:space="preserve">CÂU HỎI</t>
  </si>
  <si>
    <t xml:space="preserve">GHI VÀO CỘT NÀO</t>
  </si>
  <si>
    <t xml:space="preserve">Em cho anh đánh giá vị ly trà sữa từ 1-5 nha (1 = không uống nổi, 5 = ngon hơn Mixue)</t>
  </si>
  <si>
    <t xml:space="preserve">G (Vị 1-5)</t>
  </si>
  <si>
    <t xml:space="preserve">Trân châu em thấy thế nào? (1 = cứng quá hoặc sống, 5 = mềm mịn vừa)</t>
  </si>
  <si>
    <t xml:space="preserve">H (Trân châu 1-5)</t>
  </si>
  <si>
    <t xml:space="preserve">Nếu phải mua, em sẽ trả bao nhiêu? 15k? 18k? 20k? 23k? 25k? (em chọn 1 số)</t>
  </si>
  <si>
    <t xml:space="preserve">I (Sẽ trả k)</t>
  </si>
  <si>
    <t xml:space="preserve">Em thấy ly nào trông ngon nhất trong 3 ly mẫu? (chỉ vào)</t>
  </si>
  <si>
    <t xml:space="preserve">J (Topping favorite)</t>
  </si>
  <si>
    <t xml:space="preserve">Nếu là khách thường, em sẽ rủ bạn quay lại tuần sau order không?</t>
  </si>
  <si>
    <t xml:space="preserve">K (Order lại Có/Không)</t>
  </si>
  <si>
    <t xml:space="preserve">Em có chụp + đăng IG hoặc TikTok không?</t>
  </si>
  <si>
    <t xml:space="preserve">L (Có/Không)</t>
  </si>
  <si>
    <t xml:space="preserve">Bất kỳ ý kiến gì khác?</t>
  </si>
  <si>
    <t xml:space="preserve">M (Comment)</t>
  </si>
  <si>
    <t xml:space="preserve">⚠️ LƯU Ý:</t>
  </si>
  <si>
    <t xml:space="preserve">- KHÔNG dẫn câu trả lời (Ngon đúng không?)</t>
  </si>
  <si>
    <t xml:space="preserve">- Để em trả lời tự nhiên</t>
  </si>
  <si>
    <t xml:space="preserve">- Nếu em ngại nói, hỏi nhẹ: Em nói thật cho anh nha</t>
  </si>
  <si>
    <t xml:space="preserve">- Ghi NHANH ngay khi em trả lời, không nhớ về sau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</si>
</sst>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2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E8F5E9"/>
        <bgColor rgb="FFF3E5F5"/>
      </patternFill>
    </fill>
    <fill>
      <patternFill patternType="solid">
        <fgColor rgb="FFFFF9C4"/>
        <bgColor rgb="FFFFEBEE"/>
      </patternFill>
    </fill>
    <fill>
      <patternFill patternType="solid">
        <fgColor rgb="FFF3E5F5"/>
        <bgColor rgb="FFFFEBEE"/>
      </patternFill>
    </fill>
    <fill>
      <patternFill patternType="solid">
        <fgColor rgb="FFFFEBEE"/>
        <bgColor rgb="FFF3E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4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1.75" hidden="false" customHeight="true" outlineLevel="0" collapsed="false">
      <c r="A5" s="4" t="n">
        <v>1</v>
      </c>
      <c r="B5" s="4" t="s">
        <v>15</v>
      </c>
      <c r="C5" s="4" t="s">
        <v>16</v>
      </c>
      <c r="D5" s="4"/>
      <c r="E5" s="4"/>
      <c r="F5" s="5" t="s">
        <v>17</v>
      </c>
      <c r="G5" s="4"/>
      <c r="H5" s="4"/>
      <c r="I5" s="4"/>
      <c r="J5" s="4"/>
      <c r="K5" s="4"/>
      <c r="L5" s="4"/>
      <c r="M5" s="4"/>
    </row>
    <row r="6" customFormat="false" ht="21.75" hidden="false" customHeight="true" outlineLevel="0" collapsed="false">
      <c r="A6" s="4" t="n">
        <v>2</v>
      </c>
      <c r="B6" s="4" t="s">
        <v>15</v>
      </c>
      <c r="C6" s="4" t="s">
        <v>16</v>
      </c>
      <c r="D6" s="4"/>
      <c r="E6" s="4"/>
      <c r="F6" s="5" t="s">
        <v>17</v>
      </c>
      <c r="G6" s="4"/>
      <c r="H6" s="4"/>
      <c r="I6" s="4"/>
      <c r="J6" s="4"/>
      <c r="K6" s="4"/>
      <c r="L6" s="4"/>
      <c r="M6" s="4"/>
    </row>
    <row r="7" customFormat="false" ht="21.75" hidden="false" customHeight="true" outlineLevel="0" collapsed="false">
      <c r="A7" s="4" t="n">
        <v>3</v>
      </c>
      <c r="B7" s="4" t="s">
        <v>15</v>
      </c>
      <c r="C7" s="4" t="s">
        <v>16</v>
      </c>
      <c r="D7" s="4"/>
      <c r="E7" s="4"/>
      <c r="F7" s="6" t="s">
        <v>18</v>
      </c>
      <c r="G7" s="4"/>
      <c r="H7" s="4"/>
      <c r="I7" s="4"/>
      <c r="J7" s="4"/>
      <c r="K7" s="4"/>
      <c r="L7" s="4"/>
      <c r="M7" s="4"/>
    </row>
    <row r="8" customFormat="false" ht="21.75" hidden="false" customHeight="true" outlineLevel="0" collapsed="false">
      <c r="A8" s="4" t="n">
        <v>4</v>
      </c>
      <c r="B8" s="4" t="s">
        <v>15</v>
      </c>
      <c r="C8" s="4" t="s">
        <v>16</v>
      </c>
      <c r="D8" s="4"/>
      <c r="E8" s="4"/>
      <c r="F8" s="6" t="s">
        <v>18</v>
      </c>
      <c r="G8" s="4"/>
      <c r="H8" s="4"/>
      <c r="I8" s="4"/>
      <c r="J8" s="4"/>
      <c r="K8" s="4"/>
      <c r="L8" s="4"/>
      <c r="M8" s="4"/>
    </row>
    <row r="9" customFormat="false" ht="21.75" hidden="false" customHeight="true" outlineLevel="0" collapsed="false">
      <c r="A9" s="4" t="n">
        <v>5</v>
      </c>
      <c r="B9" s="4" t="s">
        <v>15</v>
      </c>
      <c r="C9" s="4" t="s">
        <v>19</v>
      </c>
      <c r="D9" s="4"/>
      <c r="E9" s="4"/>
      <c r="F9" s="5" t="s">
        <v>17</v>
      </c>
      <c r="G9" s="4"/>
      <c r="H9" s="4"/>
      <c r="I9" s="4"/>
      <c r="J9" s="4"/>
      <c r="K9" s="4"/>
      <c r="L9" s="4"/>
      <c r="M9" s="4"/>
    </row>
    <row r="10" customFormat="false" ht="21.75" hidden="false" customHeight="true" outlineLevel="0" collapsed="false">
      <c r="A10" s="4" t="n">
        <v>6</v>
      </c>
      <c r="B10" s="4" t="s">
        <v>15</v>
      </c>
      <c r="C10" s="4" t="s">
        <v>19</v>
      </c>
      <c r="D10" s="4"/>
      <c r="E10" s="4"/>
      <c r="F10" s="5" t="s">
        <v>17</v>
      </c>
      <c r="G10" s="4"/>
      <c r="H10" s="4"/>
      <c r="I10" s="4"/>
      <c r="J10" s="4"/>
      <c r="K10" s="4"/>
      <c r="L10" s="4"/>
      <c r="M10" s="4"/>
    </row>
    <row r="11" customFormat="false" ht="21.75" hidden="false" customHeight="true" outlineLevel="0" collapsed="false">
      <c r="A11" s="4" t="n">
        <v>7</v>
      </c>
      <c r="B11" s="4" t="s">
        <v>15</v>
      </c>
      <c r="C11" s="4" t="s">
        <v>19</v>
      </c>
      <c r="D11" s="4"/>
      <c r="E11" s="4"/>
      <c r="F11" s="7" t="s">
        <v>20</v>
      </c>
      <c r="G11" s="4"/>
      <c r="H11" s="4"/>
      <c r="I11" s="4"/>
      <c r="J11" s="4"/>
      <c r="K11" s="4"/>
      <c r="L11" s="4"/>
      <c r="M11" s="4"/>
    </row>
    <row r="12" customFormat="false" ht="21.75" hidden="false" customHeight="true" outlineLevel="0" collapsed="false">
      <c r="A12" s="4" t="n">
        <v>8</v>
      </c>
      <c r="B12" s="4" t="s">
        <v>15</v>
      </c>
      <c r="C12" s="4" t="s">
        <v>19</v>
      </c>
      <c r="D12" s="4"/>
      <c r="E12" s="4"/>
      <c r="F12" s="7" t="s">
        <v>20</v>
      </c>
      <c r="G12" s="4"/>
      <c r="H12" s="4"/>
      <c r="I12" s="4"/>
      <c r="J12" s="4"/>
      <c r="K12" s="4"/>
      <c r="L12" s="4"/>
      <c r="M12" s="4"/>
    </row>
    <row r="13" customFormat="false" ht="21.75" hidden="false" customHeight="true" outlineLevel="0" collapsed="false">
      <c r="A13" s="4" t="n">
        <v>9</v>
      </c>
      <c r="B13" s="4" t="s">
        <v>21</v>
      </c>
      <c r="C13" s="4" t="s">
        <v>16</v>
      </c>
      <c r="D13" s="4"/>
      <c r="E13" s="4"/>
      <c r="F13" s="5" t="s">
        <v>17</v>
      </c>
      <c r="G13" s="4"/>
      <c r="H13" s="4"/>
      <c r="I13" s="4"/>
      <c r="J13" s="4"/>
      <c r="K13" s="4"/>
      <c r="L13" s="4"/>
      <c r="M13" s="4"/>
    </row>
    <row r="14" customFormat="false" ht="21.75" hidden="false" customHeight="true" outlineLevel="0" collapsed="false">
      <c r="A14" s="4" t="n">
        <v>10</v>
      </c>
      <c r="B14" s="4" t="s">
        <v>21</v>
      </c>
      <c r="C14" s="4" t="s">
        <v>16</v>
      </c>
      <c r="D14" s="4"/>
      <c r="E14" s="4"/>
      <c r="F14" s="5" t="s">
        <v>17</v>
      </c>
      <c r="G14" s="4"/>
      <c r="H14" s="4"/>
      <c r="I14" s="4"/>
      <c r="J14" s="4"/>
      <c r="K14" s="4"/>
      <c r="L14" s="4"/>
      <c r="M14" s="4"/>
    </row>
    <row r="15" customFormat="false" ht="21.75" hidden="false" customHeight="true" outlineLevel="0" collapsed="false">
      <c r="A15" s="4" t="n">
        <v>11</v>
      </c>
      <c r="B15" s="4" t="s">
        <v>21</v>
      </c>
      <c r="C15" s="4" t="s">
        <v>16</v>
      </c>
      <c r="D15" s="4"/>
      <c r="E15" s="4"/>
      <c r="F15" s="6" t="s">
        <v>18</v>
      </c>
      <c r="G15" s="4"/>
      <c r="H15" s="4"/>
      <c r="I15" s="4"/>
      <c r="J15" s="4"/>
      <c r="K15" s="4"/>
      <c r="L15" s="4"/>
      <c r="M15" s="4"/>
    </row>
    <row r="16" customFormat="false" ht="21.75" hidden="false" customHeight="true" outlineLevel="0" collapsed="false">
      <c r="A16" s="4" t="n">
        <v>12</v>
      </c>
      <c r="B16" s="4" t="s">
        <v>21</v>
      </c>
      <c r="C16" s="4" t="s">
        <v>16</v>
      </c>
      <c r="D16" s="4"/>
      <c r="E16" s="4"/>
      <c r="F16" s="6" t="s">
        <v>18</v>
      </c>
      <c r="G16" s="4"/>
      <c r="H16" s="4"/>
      <c r="I16" s="4"/>
      <c r="J16" s="4"/>
      <c r="K16" s="4"/>
      <c r="L16" s="4"/>
      <c r="M16" s="4"/>
    </row>
    <row r="17" customFormat="false" ht="21.75" hidden="false" customHeight="true" outlineLevel="0" collapsed="false">
      <c r="A17" s="4" t="n">
        <v>13</v>
      </c>
      <c r="B17" s="4" t="s">
        <v>21</v>
      </c>
      <c r="C17" s="4" t="s">
        <v>19</v>
      </c>
      <c r="D17" s="4"/>
      <c r="E17" s="4"/>
      <c r="F17" s="5" t="s">
        <v>17</v>
      </c>
      <c r="G17" s="4"/>
      <c r="H17" s="4"/>
      <c r="I17" s="4"/>
      <c r="J17" s="4"/>
      <c r="K17" s="4"/>
      <c r="L17" s="4"/>
      <c r="M17" s="4"/>
    </row>
    <row r="18" customFormat="false" ht="21.75" hidden="false" customHeight="true" outlineLevel="0" collapsed="false">
      <c r="A18" s="4" t="n">
        <v>14</v>
      </c>
      <c r="B18" s="4" t="s">
        <v>21</v>
      </c>
      <c r="C18" s="4" t="s">
        <v>19</v>
      </c>
      <c r="D18" s="4"/>
      <c r="E18" s="4"/>
      <c r="F18" s="5" t="s">
        <v>17</v>
      </c>
      <c r="G18" s="4"/>
      <c r="H18" s="4"/>
      <c r="I18" s="4"/>
      <c r="J18" s="4"/>
      <c r="K18" s="4"/>
      <c r="L18" s="4"/>
      <c r="M18" s="4"/>
    </row>
    <row r="19" customFormat="false" ht="21.75" hidden="false" customHeight="true" outlineLevel="0" collapsed="false">
      <c r="A19" s="4" t="n">
        <v>15</v>
      </c>
      <c r="B19" s="4" t="s">
        <v>21</v>
      </c>
      <c r="C19" s="4" t="s">
        <v>19</v>
      </c>
      <c r="D19" s="4"/>
      <c r="E19" s="4"/>
      <c r="F19" s="7" t="s">
        <v>20</v>
      </c>
      <c r="G19" s="4"/>
      <c r="H19" s="4"/>
      <c r="I19" s="4"/>
      <c r="J19" s="4"/>
      <c r="K19" s="4"/>
      <c r="L19" s="4"/>
      <c r="M19" s="4"/>
    </row>
    <row r="20" customFormat="false" ht="21.75" hidden="false" customHeight="true" outlineLevel="0" collapsed="false">
      <c r="A20" s="4" t="n">
        <v>16</v>
      </c>
      <c r="B20" s="4" t="s">
        <v>21</v>
      </c>
      <c r="C20" s="4" t="s">
        <v>19</v>
      </c>
      <c r="D20" s="4"/>
      <c r="E20" s="4"/>
      <c r="F20" s="7" t="s">
        <v>20</v>
      </c>
      <c r="G20" s="4"/>
      <c r="H20" s="4"/>
      <c r="I20" s="4"/>
      <c r="J20" s="4"/>
      <c r="K20" s="4"/>
      <c r="L20" s="4"/>
      <c r="M20" s="4"/>
    </row>
    <row r="21" customFormat="false" ht="21.75" hidden="false" customHeight="true" outlineLevel="0" collapsed="false">
      <c r="A21" s="4" t="n">
        <v>17</v>
      </c>
      <c r="B21" s="4" t="s">
        <v>22</v>
      </c>
      <c r="C21" s="4" t="s">
        <v>16</v>
      </c>
      <c r="D21" s="4"/>
      <c r="E21" s="4"/>
      <c r="F21" s="5" t="s">
        <v>17</v>
      </c>
      <c r="G21" s="4"/>
      <c r="H21" s="4"/>
      <c r="I21" s="4"/>
      <c r="J21" s="4"/>
      <c r="K21" s="4"/>
      <c r="L21" s="4"/>
      <c r="M21" s="4"/>
    </row>
    <row r="22" customFormat="false" ht="21.75" hidden="false" customHeight="true" outlineLevel="0" collapsed="false">
      <c r="A22" s="4" t="n">
        <v>18</v>
      </c>
      <c r="B22" s="4" t="s">
        <v>22</v>
      </c>
      <c r="C22" s="4" t="s">
        <v>16</v>
      </c>
      <c r="D22" s="4"/>
      <c r="E22" s="4"/>
      <c r="F22" s="5" t="s">
        <v>17</v>
      </c>
      <c r="G22" s="4"/>
      <c r="H22" s="4"/>
      <c r="I22" s="4"/>
      <c r="J22" s="4"/>
      <c r="K22" s="4"/>
      <c r="L22" s="4"/>
      <c r="M22" s="4"/>
    </row>
    <row r="23" customFormat="false" ht="21.75" hidden="false" customHeight="true" outlineLevel="0" collapsed="false">
      <c r="A23" s="4" t="n">
        <v>19</v>
      </c>
      <c r="B23" s="4" t="s">
        <v>22</v>
      </c>
      <c r="C23" s="4" t="s">
        <v>16</v>
      </c>
      <c r="D23" s="4"/>
      <c r="E23" s="4"/>
      <c r="F23" s="6" t="s">
        <v>18</v>
      </c>
      <c r="G23" s="4"/>
      <c r="H23" s="4"/>
      <c r="I23" s="4"/>
      <c r="J23" s="4"/>
      <c r="K23" s="4"/>
      <c r="L23" s="4"/>
      <c r="M23" s="4"/>
    </row>
    <row r="24" customFormat="false" ht="21.75" hidden="false" customHeight="true" outlineLevel="0" collapsed="false">
      <c r="A24" s="4" t="n">
        <v>20</v>
      </c>
      <c r="B24" s="4" t="s">
        <v>22</v>
      </c>
      <c r="C24" s="4" t="s">
        <v>16</v>
      </c>
      <c r="D24" s="4"/>
      <c r="E24" s="4"/>
      <c r="F24" s="6" t="s">
        <v>18</v>
      </c>
      <c r="G24" s="4"/>
      <c r="H24" s="4"/>
      <c r="I24" s="4"/>
      <c r="J24" s="4"/>
      <c r="K24" s="4"/>
      <c r="L24" s="4"/>
      <c r="M24" s="4"/>
    </row>
    <row r="25" customFormat="false" ht="21.75" hidden="false" customHeight="true" outlineLevel="0" collapsed="false">
      <c r="A25" s="4" t="n">
        <v>21</v>
      </c>
      <c r="B25" s="4" t="s">
        <v>22</v>
      </c>
      <c r="C25" s="4" t="s">
        <v>19</v>
      </c>
      <c r="D25" s="4"/>
      <c r="E25" s="4"/>
      <c r="F25" s="6" t="s">
        <v>18</v>
      </c>
      <c r="G25" s="4"/>
      <c r="H25" s="4"/>
      <c r="I25" s="4"/>
      <c r="J25" s="4"/>
      <c r="K25" s="4"/>
      <c r="L25" s="4"/>
      <c r="M25" s="4"/>
    </row>
    <row r="26" customFormat="false" ht="21.75" hidden="false" customHeight="true" outlineLevel="0" collapsed="false">
      <c r="A26" s="4" t="n">
        <v>22</v>
      </c>
      <c r="B26" s="4" t="s">
        <v>22</v>
      </c>
      <c r="C26" s="4" t="s">
        <v>19</v>
      </c>
      <c r="D26" s="4"/>
      <c r="E26" s="4"/>
      <c r="F26" s="6" t="s">
        <v>18</v>
      </c>
      <c r="G26" s="4"/>
      <c r="H26" s="4"/>
      <c r="I26" s="4"/>
      <c r="J26" s="4"/>
      <c r="K26" s="4"/>
      <c r="L26" s="4"/>
      <c r="M26" s="4"/>
    </row>
    <row r="27" customFormat="false" ht="21.75" hidden="false" customHeight="true" outlineLevel="0" collapsed="false">
      <c r="A27" s="4" t="n">
        <v>23</v>
      </c>
      <c r="B27" s="4" t="s">
        <v>22</v>
      </c>
      <c r="C27" s="4" t="s">
        <v>19</v>
      </c>
      <c r="D27" s="4"/>
      <c r="E27" s="4"/>
      <c r="F27" s="6" t="s">
        <v>18</v>
      </c>
      <c r="G27" s="4"/>
      <c r="H27" s="4"/>
      <c r="I27" s="4"/>
      <c r="J27" s="4"/>
      <c r="K27" s="4"/>
      <c r="L27" s="4"/>
      <c r="M27" s="4"/>
    </row>
    <row r="28" customFormat="false" ht="21.75" hidden="false" customHeight="true" outlineLevel="0" collapsed="false">
      <c r="A28" s="4" t="n">
        <v>24</v>
      </c>
      <c r="B28" s="4" t="s">
        <v>22</v>
      </c>
      <c r="C28" s="4" t="s">
        <v>19</v>
      </c>
      <c r="D28" s="4"/>
      <c r="E28" s="4"/>
      <c r="F28" s="6" t="s">
        <v>18</v>
      </c>
      <c r="G28" s="4"/>
      <c r="H28" s="4"/>
      <c r="I28" s="4"/>
      <c r="J28" s="4"/>
      <c r="K28" s="4"/>
      <c r="L28" s="4"/>
      <c r="M28" s="4"/>
    </row>
    <row r="29" customFormat="false" ht="21.75" hidden="false" customHeight="true" outlineLevel="0" collapsed="false">
      <c r="A29" s="4" t="n">
        <v>25</v>
      </c>
      <c r="B29" s="4" t="s">
        <v>23</v>
      </c>
      <c r="C29" s="4" t="s">
        <v>16</v>
      </c>
      <c r="D29" s="4"/>
      <c r="E29" s="4"/>
      <c r="F29" s="8" t="s">
        <v>24</v>
      </c>
      <c r="G29" s="4"/>
      <c r="H29" s="4"/>
      <c r="I29" s="4"/>
      <c r="J29" s="4"/>
      <c r="K29" s="4"/>
      <c r="L29" s="4"/>
      <c r="M29" s="4"/>
    </row>
    <row r="30" customFormat="false" ht="21.75" hidden="false" customHeight="true" outlineLevel="0" collapsed="false">
      <c r="A30" s="4" t="n">
        <v>26</v>
      </c>
      <c r="B30" s="4" t="s">
        <v>23</v>
      </c>
      <c r="C30" s="4" t="s">
        <v>16</v>
      </c>
      <c r="D30" s="4"/>
      <c r="E30" s="4"/>
      <c r="F30" s="8" t="s">
        <v>24</v>
      </c>
      <c r="G30" s="4"/>
      <c r="H30" s="4"/>
      <c r="I30" s="4"/>
      <c r="J30" s="4"/>
      <c r="K30" s="4"/>
      <c r="L30" s="4"/>
      <c r="M30" s="4"/>
    </row>
    <row r="31" customFormat="false" ht="21.75" hidden="false" customHeight="true" outlineLevel="0" collapsed="false">
      <c r="A31" s="4" t="n">
        <v>27</v>
      </c>
      <c r="B31" s="4" t="s">
        <v>23</v>
      </c>
      <c r="C31" s="4" t="s">
        <v>16</v>
      </c>
      <c r="D31" s="4"/>
      <c r="E31" s="4"/>
      <c r="F31" s="8" t="s">
        <v>24</v>
      </c>
      <c r="G31" s="4"/>
      <c r="H31" s="4"/>
      <c r="I31" s="4"/>
      <c r="J31" s="4"/>
      <c r="K31" s="4"/>
      <c r="L31" s="4"/>
      <c r="M31" s="4"/>
    </row>
    <row r="32" customFormat="false" ht="21.75" hidden="false" customHeight="true" outlineLevel="0" collapsed="false">
      <c r="A32" s="4" t="n">
        <v>28</v>
      </c>
      <c r="B32" s="4" t="s">
        <v>23</v>
      </c>
      <c r="C32" s="4" t="s">
        <v>16</v>
      </c>
      <c r="D32" s="4"/>
      <c r="E32" s="4"/>
      <c r="F32" s="8" t="s">
        <v>24</v>
      </c>
      <c r="G32" s="4"/>
      <c r="H32" s="4"/>
      <c r="I32" s="4"/>
      <c r="J32" s="4"/>
      <c r="K32" s="4"/>
      <c r="L32" s="4"/>
      <c r="M32" s="4"/>
    </row>
    <row r="33" customFormat="false" ht="21.75" hidden="false" customHeight="true" outlineLevel="0" collapsed="false">
      <c r="A33" s="4" t="n">
        <v>29</v>
      </c>
      <c r="B33" s="4" t="s">
        <v>23</v>
      </c>
      <c r="C33" s="4" t="s">
        <v>19</v>
      </c>
      <c r="D33" s="4"/>
      <c r="E33" s="4"/>
      <c r="F33" s="8" t="s">
        <v>24</v>
      </c>
      <c r="G33" s="4"/>
      <c r="H33" s="4"/>
      <c r="I33" s="4"/>
      <c r="J33" s="4"/>
      <c r="K33" s="4"/>
      <c r="L33" s="4"/>
      <c r="M33" s="4"/>
    </row>
    <row r="34" customFormat="false" ht="21.75" hidden="false" customHeight="true" outlineLevel="0" collapsed="false">
      <c r="A34" s="4" t="n">
        <v>30</v>
      </c>
      <c r="B34" s="4" t="s">
        <v>23</v>
      </c>
      <c r="C34" s="4" t="s">
        <v>19</v>
      </c>
      <c r="D34" s="4"/>
      <c r="E34" s="4"/>
      <c r="F34" s="8" t="s">
        <v>24</v>
      </c>
      <c r="G34" s="4"/>
      <c r="H34" s="4"/>
      <c r="I34" s="4"/>
      <c r="J34" s="4"/>
      <c r="K34" s="4"/>
      <c r="L34" s="4"/>
      <c r="M34" s="4"/>
    </row>
    <row r="35" customFormat="false" ht="21.75" hidden="false" customHeight="true" outlineLevel="0" collapsed="false">
      <c r="A35" s="4" t="n">
        <v>31</v>
      </c>
      <c r="B35" s="4" t="s">
        <v>23</v>
      </c>
      <c r="C35" s="4" t="s">
        <v>19</v>
      </c>
      <c r="D35" s="4"/>
      <c r="E35" s="4"/>
      <c r="F35" s="8" t="s">
        <v>24</v>
      </c>
      <c r="G35" s="4"/>
      <c r="H35" s="4"/>
      <c r="I35" s="4"/>
      <c r="J35" s="4"/>
      <c r="K35" s="4"/>
      <c r="L35" s="4"/>
      <c r="M35" s="4"/>
    </row>
    <row r="36" customFormat="false" ht="21.75" hidden="false" customHeight="true" outlineLevel="0" collapsed="false">
      <c r="A36" s="4" t="n">
        <v>32</v>
      </c>
      <c r="B36" s="4" t="s">
        <v>23</v>
      </c>
      <c r="C36" s="4" t="s">
        <v>19</v>
      </c>
      <c r="D36" s="4"/>
      <c r="E36" s="4"/>
      <c r="F36" s="8" t="s">
        <v>24</v>
      </c>
      <c r="G36" s="4"/>
      <c r="H36" s="4"/>
      <c r="I36" s="4"/>
      <c r="J36" s="4"/>
      <c r="K36" s="4"/>
      <c r="L36" s="4"/>
      <c r="M36" s="4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  <c r="E1" s="1"/>
    </row>
    <row r="3" customFormat="false" ht="15" hidden="false" customHeight="false" outlineLevel="0" collapsed="false">
      <c r="A3" s="9" t="s">
        <v>26</v>
      </c>
      <c r="B3" s="9" t="s">
        <v>27</v>
      </c>
      <c r="C3" s="9" t="s">
        <v>28</v>
      </c>
      <c r="D3" s="9" t="s">
        <v>29</v>
      </c>
      <c r="E3" s="9" t="s">
        <v>30</v>
      </c>
    </row>
    <row r="4" customFormat="false" ht="15" hidden="false" customHeight="false" outlineLevel="0" collapsed="false">
      <c r="A4" s="10" t="s">
        <v>31</v>
      </c>
      <c r="B4" s="10" t="n">
        <f aca="false">COUNTIF('Tracking 32 em'!F:F,"Base")</f>
        <v>10</v>
      </c>
      <c r="C4" s="10" t="n">
        <f aca="false">IFERROR(AVERAGEIF('Tracking 32 em'!F:F,"Base",'Tracking 32 em'!G:G),0)</f>
        <v>0</v>
      </c>
      <c r="D4" s="10" t="n">
        <f aca="false">IFERROR(AVERAGEIF('Tracking 32 em'!F:F,"Base",'Tracking 32 em'!H:H),0)</f>
        <v>0</v>
      </c>
      <c r="E4" s="10" t="n">
        <f aca="false">IFERROR(AVERAGEIF('Tracking 32 em'!F:F,"Base",'Tracking 32 em'!I:I),0)</f>
        <v>0</v>
      </c>
    </row>
    <row r="5" customFormat="false" ht="15" hidden="false" customHeight="false" outlineLevel="0" collapsed="false">
      <c r="A5" s="10" t="s">
        <v>32</v>
      </c>
      <c r="B5" s="10" t="n">
        <f aca="false">COUNTIF('Tracking 32 em'!F:F,"Deluxe")</f>
        <v>10</v>
      </c>
      <c r="C5" s="10" t="n">
        <f aca="false">IFERROR(AVERAGEIF('Tracking 32 em'!F:F,"Deluxe",'Tracking 32 em'!G:G),0)</f>
        <v>0</v>
      </c>
      <c r="D5" s="10" t="n">
        <f aca="false">IFERROR(AVERAGEIF('Tracking 32 em'!F:F,"Deluxe",'Tracking 32 em'!H:H),0)</f>
        <v>0</v>
      </c>
      <c r="E5" s="10" t="n">
        <f aca="false">IFERROR(AVERAGEIF('Tracking 32 em'!F:F,"Deluxe",'Tracking 32 em'!I:I),0)</f>
        <v>0</v>
      </c>
    </row>
    <row r="6" customFormat="false" ht="15" hidden="false" customHeight="false" outlineLevel="0" collapsed="false">
      <c r="A6" s="10" t="s">
        <v>33</v>
      </c>
      <c r="B6" s="10" t="n">
        <f aca="false">COUNTIF('Tracking 32 em'!F:F,"Cream")</f>
        <v>4</v>
      </c>
      <c r="C6" s="10" t="n">
        <f aca="false">IFERROR(AVERAGEIF('Tracking 32 em'!F:F,"Cream",'Tracking 32 em'!G:G),0)</f>
        <v>0</v>
      </c>
      <c r="D6" s="10" t="n">
        <f aca="false">IFERROR(AVERAGEIF('Tracking 32 em'!F:F,"Cream",'Tracking 32 em'!H:H),0)</f>
        <v>0</v>
      </c>
      <c r="E6" s="10" t="n">
        <f aca="false">IFERROR(AVERAGEIF('Tracking 32 em'!F:F,"Cream",'Tracking 32 em'!I:I),0)</f>
        <v>0</v>
      </c>
    </row>
    <row r="8" customFormat="false" ht="15" hidden="false" customHeight="false" outlineLevel="0" collapsed="false">
      <c r="A8" s="0" t="s">
        <v>34</v>
      </c>
    </row>
    <row r="9" customFormat="false" ht="15" hidden="false" customHeight="false" outlineLevel="0" collapsed="false">
      <c r="A9" s="0" t="s">
        <v>35</v>
      </c>
    </row>
    <row r="10" customFormat="false" ht="15" hidden="false" customHeight="false" outlineLevel="0" collapsed="false">
      <c r="A10" s="0" t="s">
        <v>36</v>
      </c>
    </row>
    <row r="11" customFormat="false" ht="15" hidden="false" customHeight="false" outlineLevel="0" collapsed="false">
      <c r="A11" s="0" t="s">
        <v>37</v>
      </c>
    </row>
    <row r="13" customFormat="false" ht="15" hidden="false" customHeight="false" outlineLevel="0" collapsed="false">
      <c r="A13" s="0" t="s">
        <v>38</v>
      </c>
    </row>
    <row r="14" customFormat="false" ht="15" hidden="false" customHeight="false" outlineLevel="0" collapsed="false">
      <c r="A14" s="0" t="s">
        <v>17</v>
      </c>
      <c r="B14" s="0" t="n">
        <f aca="false">COUNTIF('Tracking 32 em'!J:J,"Base")</f>
        <v>0</v>
      </c>
    </row>
    <row r="15" customFormat="false" ht="15" hidden="false" customHeight="false" outlineLevel="0" collapsed="false">
      <c r="A15" s="0" t="s">
        <v>18</v>
      </c>
      <c r="B15" s="0" t="n">
        <f aca="false">COUNTIF('Tracking 32 em'!J:J,"Deluxe")</f>
        <v>0</v>
      </c>
    </row>
    <row r="16" customFormat="false" ht="15" hidden="false" customHeight="false" outlineLevel="0" collapsed="false">
      <c r="A16" s="0" t="s">
        <v>20</v>
      </c>
      <c r="B16" s="0" t="n">
        <f aca="false">COUNTIF('Tracking 32 em'!J:J,"Cream")</f>
        <v>0</v>
      </c>
    </row>
    <row r="18" customFormat="false" ht="15" hidden="false" customHeight="false" outlineLevel="0" collapsed="false">
      <c r="A18" s="0" t="s">
        <v>39</v>
      </c>
      <c r="B18" s="0" t="n">
        <f aca="false">COUNTIF('Tracking 32 em'!L:L,"Có")</f>
        <v>0</v>
      </c>
    </row>
    <row r="19" customFormat="false" ht="15" hidden="false" customHeight="false" outlineLevel="0" collapsed="false">
      <c r="A19" s="0" t="s">
        <v>40</v>
      </c>
      <c r="B19" s="0" t="n">
        <f aca="false">COUNTIF('Tracking 32 em'!K:K,"Có")</f>
        <v>0</v>
      </c>
    </row>
    <row r="21" customFormat="false" ht="15" hidden="false" customHeight="false" outlineLevel="0" collapsed="false">
      <c r="A21" s="0" t="s">
        <v>41</v>
      </c>
    </row>
    <row r="22" customFormat="false" ht="15" hidden="false" customHeight="false" outlineLevel="0" collapsed="false">
      <c r="A22" s="0" t="s">
        <v>42</v>
      </c>
    </row>
    <row r="23" customFormat="false" ht="15" hidden="false" customHeight="false" outlineLevel="0" collapsed="false">
      <c r="A23" s="0" t="s">
        <v>43</v>
      </c>
    </row>
    <row r="24" customFormat="false" ht="15" hidden="false" customHeight="false" outlineLevel="0" collapsed="false">
      <c r="A24" s="0" t="s">
        <v>44</v>
      </c>
    </row>
    <row r="25" customFormat="false" ht="15" hidden="false" customHeight="false" outlineLevel="0" collapsed="false">
      <c r="A25" s="0" t="s">
        <v>45</v>
      </c>
    </row>
    <row r="26" customFormat="false" ht="15" hidden="false" customHeight="false" outlineLevel="0" collapsed="false">
      <c r="A26" s="0" t="s">
        <v>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5"/>
    <col collapsed="false" customWidth="true" hidden="false" outlineLevel="0" max="2" min="2" style="0" width="28"/>
  </cols>
  <sheetData>
    <row r="1" customFormat="false" ht="17.35" hidden="false" customHeight="false" outlineLevel="0" collapsed="false">
      <c r="A1" s="11" t="s">
        <v>47</v>
      </c>
      <c r="B1" s="11"/>
    </row>
    <row r="3" customFormat="false" ht="15" hidden="false" customHeight="false" outlineLevel="0" collapsed="false">
      <c r="A3" s="12" t="s">
        <v>48</v>
      </c>
      <c r="B3" s="12" t="s">
        <v>49</v>
      </c>
    </row>
    <row r="4" customFormat="false" ht="15" hidden="false" customHeight="false" outlineLevel="0" collapsed="false">
      <c r="A4" s="0" t="s">
        <v>50</v>
      </c>
      <c r="B4" s="0" t="s">
        <v>51</v>
      </c>
    </row>
    <row r="5" customFormat="false" ht="15" hidden="false" customHeight="false" outlineLevel="0" collapsed="false">
      <c r="A5" s="0" t="s">
        <v>52</v>
      </c>
      <c r="B5" s="0" t="s">
        <v>53</v>
      </c>
    </row>
    <row r="6" customFormat="false" ht="15" hidden="false" customHeight="false" outlineLevel="0" collapsed="false">
      <c r="A6" s="0" t="s">
        <v>54</v>
      </c>
      <c r="B6" s="0" t="s">
        <v>55</v>
      </c>
    </row>
    <row r="7" customFormat="false" ht="15" hidden="false" customHeight="false" outlineLevel="0" collapsed="false">
      <c r="A7" s="0" t="s">
        <v>56</v>
      </c>
      <c r="B7" s="0" t="s">
        <v>57</v>
      </c>
    </row>
    <row r="8" customFormat="false" ht="15" hidden="false" customHeight="false" outlineLevel="0" collapsed="false">
      <c r="A8" s="0" t="s">
        <v>58</v>
      </c>
      <c r="B8" s="0" t="s">
        <v>59</v>
      </c>
    </row>
    <row r="9" customFormat="false" ht="15" hidden="false" customHeight="false" outlineLevel="0" collapsed="false">
      <c r="A9" s="0" t="s">
        <v>60</v>
      </c>
      <c r="B9" s="0" t="s">
        <v>61</v>
      </c>
    </row>
    <row r="10" customFormat="false" ht="15" hidden="false" customHeight="false" outlineLevel="0" collapsed="false">
      <c r="A10" s="0" t="s">
        <v>62</v>
      </c>
      <c r="B10" s="0" t="s">
        <v>63</v>
      </c>
    </row>
    <row r="12" customFormat="false" ht="15" hidden="false" customHeight="false" outlineLevel="0" collapsed="false">
      <c r="A12" s="0" t="s">
        <v>64</v>
      </c>
    </row>
    <row r="13" customFormat="false" ht="15" hidden="false" customHeight="false" outlineLevel="0" collapsed="false">
      <c r="A13" s="0" t="s">
        <v>65</v>
      </c>
    </row>
    <row r="14" customFormat="false" ht="15" hidden="false" customHeight="false" outlineLevel="0" collapsed="false">
      <c r="A14" s="0" t="s">
        <v>66</v>
      </c>
    </row>
    <row r="15" customFormat="false" ht="15" hidden="false" customHeight="false" outlineLevel="0" collapsed="false">
      <c r="A15" s="0" t="s">
        <v>67</v>
      </c>
    </row>
    <row r="16" customFormat="false" ht="15" hidden="false" customHeight="false" outlineLevel="0" collapsed="false">
      <c r="A16" s="0" t="s">
        <v>68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2026-05-30T05:27:13Z</dcterms:created>
  <dc:creator>openpyxl</dc:creator>
  <dc:description/>
  <dc:language>en-US</dc:language>
  <cp:lastModifiedBy/>
  <dcterms:modified xsi:type="dcterms:W3CDTF">2026-05-30T05:27:13Z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